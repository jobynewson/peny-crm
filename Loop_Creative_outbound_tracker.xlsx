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spects" sheetId="2" state="visible" r:id="rId4"/>
    <sheet name="Sector angles" sheetId="3" state="visible" r:id="rId5"/>
  </sheets>
  <definedNames>
    <definedName function="false" hidden="true" localSheetId="1" name="_xlnm._FilterDatabase" vbProcedure="false">Prospects!$A$1:$P$36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<sst xmlns="http://schemas.openxmlformats.org/spreadsheetml/2006/main" count="496" uniqueCount="358">
  <si>
    <t xml:space="preserve">Loop Creative - outbound prospect tracker</t>
  </si>
  <si>
    <t xml:space="preserve">Target model: 1-2 bookings a month. One shoot day (2-person crew) + two edit days per unit.</t>
  </si>
  <si>
    <t xml:space="preserve">Retainers are the priority - each one fills a slot twelve times over.</t>
  </si>
  <si>
    <t xml:space="preserve">Tier key</t>
  </si>
  <si>
    <t xml:space="preserve">A  Retainer-shaped - a recurring content need built into how the business works.</t>
  </si>
  <si>
    <t xml:space="preserve">B  High-value one-off - funds downtime and builds the showreel.</t>
  </si>
  <si>
    <t xml:space="preserve">C  Volume / warm-up - smaller budgets or a longer education sell.</t>
  </si>
  <si>
    <t xml:space="preserve">How to use it</t>
  </si>
  <si>
    <t xml:space="preserve">Fill in Owner, Last contact and Next action as you work the list. Status is a dropdown.</t>
  </si>
  <si>
    <t xml:space="preserve">Work top-down by Priority. Hero targets first, reach targets only when there's slack.</t>
  </si>
  <si>
    <t xml:space="preserve">Blank Phone/Website cells need a manual look-up before contact - they weren't on file.</t>
  </si>
  <si>
    <t xml:space="preserve">Counts</t>
  </si>
  <si>
    <t xml:space="preserve">Total prospects</t>
  </si>
  <si>
    <t xml:space="preserve">Tier A (retainer-shaped)</t>
  </si>
  <si>
    <t xml:space="preserve">Tier B (one-off / showreel)</t>
  </si>
  <si>
    <t xml:space="preserve">Tier C (volume / warm-up)</t>
  </si>
  <si>
    <t xml:space="preserve">Contacted or beyond</t>
  </si>
  <si>
    <t xml:space="preserve">Won</t>
  </si>
  <si>
    <t xml:space="preserve">Source: Google Places listings gathered during planning, July 2026. Ratings and review counts are point-in-time.</t>
  </si>
  <si>
    <t xml:space="preserve">Business</t>
  </si>
  <si>
    <t xml:space="preserve">Sector</t>
  </si>
  <si>
    <t xml:space="preserve">Tier</t>
  </si>
  <si>
    <t xml:space="preserve">Why they fit</t>
  </si>
  <si>
    <t xml:space="preserve">Pitch angle (opening hook)</t>
  </si>
  <si>
    <t xml:space="preserve">Base / area</t>
  </si>
  <si>
    <t xml:space="preserve">Phone</t>
  </si>
  <si>
    <t xml:space="preserve">Website</t>
  </si>
  <si>
    <t xml:space="preserve">Rating</t>
  </si>
  <si>
    <t xml:space="preserve">Reviews</t>
  </si>
  <si>
    <t xml:space="preserve">Priority</t>
  </si>
  <si>
    <t xml:space="preserve">Status</t>
  </si>
  <si>
    <t xml:space="preserve">Owner</t>
  </si>
  <si>
    <t xml:space="preserve">Last contact</t>
  </si>
  <si>
    <t xml:space="preserve">Next action</t>
  </si>
  <si>
    <t xml:space="preserve">Notes</t>
  </si>
  <si>
    <t xml:space="preserve">Lakeside Classics</t>
  </si>
  <si>
    <t xml:space="preserve">Auto - classic/prestige dealer</t>
  </si>
  <si>
    <t xml:space="preserve">A</t>
  </si>
  <si>
    <t xml:space="preserve">Air-cooled Porsche specialist; stock changes constantly</t>
  </si>
  <si>
    <t xml:space="preserve">'This week's arrival' - a recurring walkaround film per car, cut for socials + listings</t>
  </si>
  <si>
    <t xml:space="preserve">Allfield Court, Shrewsbury</t>
  </si>
  <si>
    <t xml:space="preserve">+44 1743 873094</t>
  </si>
  <si>
    <t xml:space="preserve">http://lakesideclassics.uk.com/</t>
  </si>
  <si>
    <t xml:space="preserve">1 - Hero</t>
  </si>
  <si>
    <t xml:space="preserve">Not started</t>
  </si>
  <si>
    <t xml:space="preserve">Call - lead with showreel</t>
  </si>
  <si>
    <t xml:space="preserve">Showreel-defining target. Enthusiast-run.</t>
  </si>
  <si>
    <t xml:space="preserve">The Ashtree Collection</t>
  </si>
  <si>
    <t xml:space="preserve">'Not a dealership, a Collection' - relationship-led, enthusiast buyers</t>
  </si>
  <si>
    <t xml:space="preserve">Story-led stock films: the car, the history, the handover</t>
  </si>
  <si>
    <t xml:space="preserve">Vernon Dr, Shrewsbury</t>
  </si>
  <si>
    <t xml:space="preserve">+44 1743 462999</t>
  </si>
  <si>
    <t xml:space="preserve">http://www.theashtreecollection.co.uk/</t>
  </si>
  <si>
    <t xml:space="preserve">Call</t>
  </si>
  <si>
    <t xml:space="preserve">Open 7 days - easy to visit in person.</t>
  </si>
  <si>
    <t xml:space="preserve">Lumen Automotive</t>
  </si>
  <si>
    <t xml:space="preserve">Auto - performance dealer</t>
  </si>
  <si>
    <t xml:space="preserve">RS7/M4-level stock; reviews stress 'people who care about cars'</t>
  </si>
  <si>
    <t xml:space="preserve">Turn each new arrival into a 60s film; build a library over the year</t>
  </si>
  <si>
    <t xml:space="preserve">Featherbed Ln, Shrewsbury</t>
  </si>
  <si>
    <t xml:space="preserve">+44 1743 454000</t>
  </si>
  <si>
    <t xml:space="preserve">CHECK - Google lists a Greenhous/Geely URL</t>
  </si>
  <si>
    <t xml:space="preserve">2 - Strong</t>
  </si>
  <si>
    <t xml:space="preserve">Verify real website, then call</t>
  </si>
  <si>
    <t xml:space="preserve">Google has website cross-wired. Confirm before outreach.</t>
  </si>
  <si>
    <t xml:space="preserve">LHK Performance Cars</t>
  </si>
  <si>
    <t xml:space="preserve">Steady prestige/performance stock turnover</t>
  </si>
  <si>
    <t xml:space="preserve">Recurring stock content + 'honest dealer' trust films</t>
  </si>
  <si>
    <t xml:space="preserve">Centurion Park, Shrewsbury</t>
  </si>
  <si>
    <t xml:space="preserve">+44 1743 463169</t>
  </si>
  <si>
    <t xml:space="preserve">http://www.lhkperformance.co.uk/</t>
  </si>
  <si>
    <t xml:space="preserve">Road Sport &amp; Classic</t>
  </si>
  <si>
    <t xml:space="preserve">Auto - sales + detailing + wrapping</t>
  </si>
  <si>
    <t xml:space="preserve">One-man passion operation spanning sales, PPF, detailing, storage</t>
  </si>
  <si>
    <t xml:space="preserve">Process films: transformation as the story; doubles for both sides of the business</t>
  </si>
  <si>
    <t xml:space="preserve">Bayston Hill, Shrewsbury</t>
  </si>
  <si>
    <t xml:space="preserve">+44 1743 612090</t>
  </si>
  <si>
    <t xml:space="preserve">https://www.roadsportandclassic.com/</t>
  </si>
  <si>
    <t xml:space="preserve">Email + reel link</t>
  </si>
  <si>
    <t xml:space="preserve">Small review count but exactly the right register.</t>
  </si>
  <si>
    <t xml:space="preserve">Finer Details</t>
  </si>
  <si>
    <t xml:space="preserve">Auto - detailing / PPF</t>
  </si>
  <si>
    <t xml:space="preserve">Already documents every job in photos; obsessive presentation</t>
  </si>
  <si>
    <t xml:space="preserve">You already shoot it on a phone - let us make it look like the work deserves</t>
  </si>
  <si>
    <t xml:space="preserve">Muckleton Ln, nr Shrewsbury</t>
  </si>
  <si>
    <t xml:space="preserve">+44 7929 668739</t>
  </si>
  <si>
    <t xml:space="preserve">https://www.finerdetailsdetailing.co.uk/</t>
  </si>
  <si>
    <t xml:space="preserve">1 - Fast yes</t>
  </si>
  <si>
    <t xml:space="preserve">Call - offer entry piece</t>
  </si>
  <si>
    <t xml:space="preserve">Warm-up target. Quick turnaround, great reel material.</t>
  </si>
  <si>
    <t xml:space="preserve">ShropShine Detailing</t>
  </si>
  <si>
    <t xml:space="preserve">Ceramic/PPF work, strong local reputation</t>
  </si>
  <si>
    <t xml:space="preserve">Before/after transformation reels as a monthly bank of clips</t>
  </si>
  <si>
    <t xml:space="preserve">Battlefield, Shrewsbury</t>
  </si>
  <si>
    <t xml:space="preserve">+44 1743 667095</t>
  </si>
  <si>
    <t xml:space="preserve">2 - Fast yes</t>
  </si>
  <si>
    <t xml:space="preserve">Website not on file - look up.</t>
  </si>
  <si>
    <t xml:space="preserve">Auto Car Detailing</t>
  </si>
  <si>
    <t xml:space="preserve">Accredited detailer; clearly proud of process</t>
  </si>
  <si>
    <t xml:space="preserve">Process + result films; ceramic/PPF explained visually</t>
  </si>
  <si>
    <t xml:space="preserve">Greenwood Ct, Shrewsbury</t>
  </si>
  <si>
    <t xml:space="preserve">+44 7739 120111</t>
  </si>
  <si>
    <t xml:space="preserve">3 - Warm</t>
  </si>
  <si>
    <t xml:space="preserve">Email</t>
  </si>
  <si>
    <t xml:space="preserve">Ace Car Care</t>
  </si>
  <si>
    <t xml:space="preserve">Auto - bodywork / detailing</t>
  </si>
  <si>
    <t xml:space="preserve">B</t>
  </si>
  <si>
    <t xml:space="preserve">979 reviews - the biggest local name in the category</t>
  </si>
  <si>
    <t xml:space="preserve">Brand film + 'how we do it' explainer series</t>
  </si>
  <si>
    <t xml:space="preserve">Battlefield Enterprise Pk, Shrewsbury</t>
  </si>
  <si>
    <t xml:space="preserve">+44 1743 466111</t>
  </si>
  <si>
    <t xml:space="preserve">Larger operation - likely real budget.</t>
  </si>
  <si>
    <t xml:space="preserve">Shrewsbury Honda Centre</t>
  </si>
  <si>
    <t xml:space="preserve">Auto - motorcycles</t>
  </si>
  <si>
    <t xml:space="preserve">Reviews are full of 'dream bike' delivery stories; already sends how-to videos</t>
  </si>
  <si>
    <t xml:space="preserve">Customer handover films + new model walkarounds</t>
  </si>
  <si>
    <t xml:space="preserve">Harlescott, Shrewsbury</t>
  </si>
  <si>
    <t xml:space="preserve">+44 1743 440770</t>
  </si>
  <si>
    <t xml:space="preserve">http://www.shrewsburyhonda.co.uk/</t>
  </si>
  <si>
    <t xml:space="preserve">Already video-minded - low education needed.</t>
  </si>
  <si>
    <t xml:space="preserve">Tech Motorcycles</t>
  </si>
  <si>
    <t xml:space="preserve">Auto - motorcycles / service</t>
  </si>
  <si>
    <t xml:space="preserve">C</t>
  </si>
  <si>
    <t xml:space="preserve">Service-led, strong local trust</t>
  </si>
  <si>
    <t xml:space="preserve">Short trust/explainer films; seasonal prep content</t>
  </si>
  <si>
    <t xml:space="preserve">+44 1743 461001</t>
  </si>
  <si>
    <t xml:space="preserve">4 - Later</t>
  </si>
  <si>
    <t xml:space="preserve">South Shropshire Motorcycles</t>
  </si>
  <si>
    <t xml:space="preserve">Small, well-loved independent</t>
  </si>
  <si>
    <t xml:space="preserve">Meet-the-workshop film</t>
  </si>
  <si>
    <t xml:space="preserve">Ludlow</t>
  </si>
  <si>
    <t xml:space="preserve">+44 1584 879290</t>
  </si>
  <si>
    <t xml:space="preserve">5 - Reach</t>
  </si>
  <si>
    <t xml:space="preserve">Hold</t>
  </si>
  <si>
    <t xml:space="preserve">Ludlow is ~45 min - reach, not core.</t>
  </si>
  <si>
    <t xml:space="preserve">Vintage Vehicle Restorations</t>
  </si>
  <si>
    <t xml:space="preserve">Auto - restoration</t>
  </si>
  <si>
    <t xml:space="preserve">XK150s, TR6s, a 1926 Humber - beautiful subject matter</t>
  </si>
  <si>
    <t xml:space="preserve">Restoration-journey films; long-form story, high showreel value</t>
  </si>
  <si>
    <t xml:space="preserve">+44 7771 395023</t>
  </si>
  <si>
    <t xml:space="preserve">4 - Reach</t>
  </si>
  <si>
    <t xml:space="preserve">Gorgeous to shoot; distance is the constraint.</t>
  </si>
  <si>
    <t xml:space="preserve">CB Classics</t>
  </si>
  <si>
    <t xml:space="preserve">New-ish specialist, building reputation</t>
  </si>
  <si>
    <t xml:space="preserve">Launch/intro film for a young business</t>
  </si>
  <si>
    <t xml:space="preserve">Much Wenlock</t>
  </si>
  <si>
    <t xml:space="preserve">+44 7377 278767</t>
  </si>
  <si>
    <t xml:space="preserve">5 - Later</t>
  </si>
  <si>
    <t xml:space="preserve">Very early stage - budget likely thin.</t>
  </si>
  <si>
    <t xml:space="preserve">Midland Performance &amp; Retro</t>
  </si>
  <si>
    <t xml:space="preserve">Auto - restoration / performance</t>
  </si>
  <si>
    <t xml:space="preserve">Recommissioning and retro performance work</t>
  </si>
  <si>
    <t xml:space="preserve">Workshop story film</t>
  </si>
  <si>
    <t xml:space="preserve">Bridgnorth</t>
  </si>
  <si>
    <t xml:space="preserve">+44 1746 764969</t>
  </si>
  <si>
    <t xml:space="preserve">The Edge Adventure Activities</t>
  </si>
  <si>
    <t xml:space="preserve">Outdoor - activity centre</t>
  </si>
  <si>
    <t xml:space="preserve">Quad, archery, shooting, mountain boarding; stag/family market</t>
  </si>
  <si>
    <t xml:space="preserve">Action content bank - one shoot day feeds a season of socials</t>
  </si>
  <si>
    <t xml:space="preserve">+44 7967 565266</t>
  </si>
  <si>
    <t xml:space="preserve">http://www.theedgeadventure.co.uk/</t>
  </si>
  <si>
    <t xml:space="preserve">Call - lead with action reel</t>
  </si>
  <si>
    <t xml:space="preserve">Open 7 days. Highly visual.</t>
  </si>
  <si>
    <t xml:space="preserve">JCA Adventure (Condover Hall)</t>
  </si>
  <si>
    <t xml:space="preserve">528 reviews; climbing, canoeing, residential school groups</t>
  </si>
  <si>
    <t xml:space="preserve">Recruitment + reassurance films for schools and parents</t>
  </si>
  <si>
    <t xml:space="preserve">Condover, Shrewsbury</t>
  </si>
  <si>
    <t xml:space="preserve">+44 1273 647200</t>
  </si>
  <si>
    <t xml:space="preserve">https://www.jca-adventure.co.uk/activity-centres/condover-hall/</t>
  </si>
  <si>
    <t xml:space="preserve">Email - likely central marketing</t>
  </si>
  <si>
    <t xml:space="preserve">Part of a larger group - decision may not be local.</t>
  </si>
  <si>
    <t xml:space="preserve">Spirited Adventure</t>
  </si>
  <si>
    <t xml:space="preserve">Outdoor - bushcraft / nature</t>
  </si>
  <si>
    <t xml:space="preserve">Bushcraft, whittling, fire-lighting; calm and understated</t>
  </si>
  <si>
    <t xml:space="preserve">Quiet, atmospheric brand film - the register you shoot best</t>
  </si>
  <si>
    <t xml:space="preserve">Monkhopton, Bridgnorth</t>
  </si>
  <si>
    <t xml:space="preserve">+44 7767 688336</t>
  </si>
  <si>
    <t xml:space="preserve">https://spirited-adventure.jimdoweb.com/</t>
  </si>
  <si>
    <t xml:space="preserve">2 - Identity fit</t>
  </si>
  <si>
    <t xml:space="preserve">Perfect tonal match. Budget likely modest - scope accordingly.</t>
  </si>
  <si>
    <t xml:space="preserve">EDGE-ucation Outdoors</t>
  </si>
  <si>
    <t xml:space="preserve">Outdoor - DofE / expeditions</t>
  </si>
  <si>
    <t xml:space="preserve">Schools and youth groups; expedition-led</t>
  </si>
  <si>
    <t xml:space="preserve">Trust film for school decision-makers</t>
  </si>
  <si>
    <t xml:space="preserve">Stiperstones</t>
  </si>
  <si>
    <t xml:space="preserve">+44 7885 801479</t>
  </si>
  <si>
    <t xml:space="preserve">Very small - low budget likely.</t>
  </si>
  <si>
    <t xml:space="preserve">Riverside Cabins</t>
  </si>
  <si>
    <t xml:space="preserve">Stays - design-led cabins</t>
  </si>
  <si>
    <t xml:space="preserve">354 reviews; paddleboards, hot tubs, yoga retreats, design-conscious</t>
  </si>
  <si>
    <t xml:space="preserve">Seasonal lifestyle content + retreat promo films</t>
  </si>
  <si>
    <t xml:space="preserve">Stanwardine, nr Shrewsbury</t>
  </si>
  <si>
    <t xml:space="preserve">+44 1939 260495</t>
  </si>
  <si>
    <t xml:space="preserve">http://www.riverside-cabins.co.uk/</t>
  </si>
  <si>
    <t xml:space="preserve">Call - lead with lifestyle reel</t>
  </si>
  <si>
    <t xml:space="preserve">Strong brand already; will value production quality.</t>
  </si>
  <si>
    <t xml:space="preserve">Top of the Rock Glamping</t>
  </si>
  <si>
    <t xml:space="preserve">Stays - glamping</t>
  </si>
  <si>
    <t xml:space="preserve">Shepherd's huts, working farm, big views</t>
  </si>
  <si>
    <t xml:space="preserve">One hero film for direct bookings</t>
  </si>
  <si>
    <t xml:space="preserve">Trefeglwys (Powys)</t>
  </si>
  <si>
    <t xml:space="preserve">+44 7796 316187</t>
  </si>
  <si>
    <t xml:space="preserve">Well outside core radius - reach only.</t>
  </si>
  <si>
    <t xml:space="preserve">Greenway Touring &amp; Glamping</t>
  </si>
  <si>
    <t xml:space="preserve">Stays - glamping / touring</t>
  </si>
  <si>
    <t xml:space="preserve">281 reviews, adults-only site</t>
  </si>
  <si>
    <t xml:space="preserve">Site walkthrough + seasonal booking push</t>
  </si>
  <si>
    <t xml:space="preserve">Craven Arms</t>
  </si>
  <si>
    <t xml:space="preserve">+44 1584 861431</t>
  </si>
  <si>
    <t xml:space="preserve">Shrewsbury Prison</t>
  </si>
  <si>
    <t xml:space="preserve">Attraction - heritage / events</t>
  </si>
  <si>
    <t xml:space="preserve">2,086 reviews; tours, escape rooms, hen/stag, ghost events</t>
  </si>
  <si>
    <t xml:space="preserve">Event-by-event promo content; strong hooks, endless angles</t>
  </si>
  <si>
    <t xml:space="preserve">The Dana, Shrewsbury</t>
  </si>
  <si>
    <t xml:space="preserve">+44 1743 343100</t>
  </si>
  <si>
    <t xml:space="preserve">https://www.shrewsburyprison.com/</t>
  </si>
  <si>
    <t xml:space="preserve">In town. Quirky, high-content-appetite, year-round events.</t>
  </si>
  <si>
    <t xml:space="preserve">Attingham Park</t>
  </si>
  <si>
    <t xml:space="preserve">Attraction - heritage estate</t>
  </si>
  <si>
    <t xml:space="preserve">7,432 reviews - the big local draw</t>
  </si>
  <si>
    <t xml:space="preserve">Seasonal visitor films</t>
  </si>
  <si>
    <t xml:space="preserve">Atcham, Shrewsbury</t>
  </si>
  <si>
    <t xml:space="preserve">+44 1743 708170</t>
  </si>
  <si>
    <t xml:space="preserve">National Trust - procurement likely central, not local.</t>
  </si>
  <si>
    <t xml:space="preserve">Shrewsbury Castle</t>
  </si>
  <si>
    <t xml:space="preserve">Attraction - heritage / museum</t>
  </si>
  <si>
    <t xml:space="preserve">1,179 reviews; town-centre landmark</t>
  </si>
  <si>
    <t xml:space="preserve">Short visitor film + exhibition promos</t>
  </si>
  <si>
    <t xml:space="preserve">Castle St, Shrewsbury</t>
  </si>
  <si>
    <t xml:space="preserve">+44 1743 358516</t>
  </si>
  <si>
    <t xml:space="preserve">Likely council/trust budget cycle.</t>
  </si>
  <si>
    <t xml:space="preserve">Wollerton Old Hall Garden</t>
  </si>
  <si>
    <t xml:space="preserve">Attraction - garden</t>
  </si>
  <si>
    <t xml:space="preserve">Private garden, strong reputation, seasonal peaks</t>
  </si>
  <si>
    <t xml:space="preserve">Season-opening film; garden looks superb on camera</t>
  </si>
  <si>
    <t xml:space="preserve">Wollerton, Market Drayton</t>
  </si>
  <si>
    <t xml:space="preserve">+44 1630 685760</t>
  </si>
  <si>
    <t xml:space="preserve">Email in autumn</t>
  </si>
  <si>
    <t xml:space="preserve">Pitch Sept-Nov for spring opening.</t>
  </si>
  <si>
    <t xml:space="preserve">The Dorothy Clive Garden</t>
  </si>
  <si>
    <t xml:space="preserve">976 reviews; strong seasonal draw</t>
  </si>
  <si>
    <t xml:space="preserve">Seasonal promo + cafe/events content</t>
  </si>
  <si>
    <t xml:space="preserve">Willoughbridge, Market Drayton</t>
  </si>
  <si>
    <t xml:space="preserve">+44 1630 647237</t>
  </si>
  <si>
    <t xml:space="preserve">Outside comfortable radius.</t>
  </si>
  <si>
    <t xml:space="preserve">The Ragleth Inn</t>
  </si>
  <si>
    <t xml:space="preserve">Hospitality - destination pub</t>
  </si>
  <si>
    <t xml:space="preserve">933 reviews; the post-hike pint in Little Stretton</t>
  </si>
  <si>
    <t xml:space="preserve">Seasonal menu + 'walk then eat' content tied to the hills</t>
  </si>
  <si>
    <t xml:space="preserve">Little Stretton, Church Stretton</t>
  </si>
  <si>
    <t xml:space="preserve">+44 1694 722711</t>
  </si>
  <si>
    <t xml:space="preserve">http://www.theraglethinn.co.uk/</t>
  </si>
  <si>
    <t xml:space="preserve">Great tonal fit with the outdoor thread.</t>
  </si>
  <si>
    <t xml:space="preserve">The Mill at Leighton</t>
  </si>
  <si>
    <t xml:space="preserve">Community-owned story; riverside; live music</t>
  </si>
  <si>
    <t xml:space="preserve">Tell the ownership story, then a monthly content bank</t>
  </si>
  <si>
    <t xml:space="preserve">Leighton, Shrewsbury</t>
  </si>
  <si>
    <t xml:space="preserve">+44 1952 443559</t>
  </si>
  <si>
    <t xml:space="preserve">http://www.themillatleighton.com/</t>
  </si>
  <si>
    <t xml:space="preserve">Strong narrative hook - would make a lovely film.</t>
  </si>
  <si>
    <t xml:space="preserve">The Corbet Arms</t>
  </si>
  <si>
    <t xml:space="preserve">Hospitality - country pub / rooms</t>
  </si>
  <si>
    <t xml:space="preserve">1,777 reviews; riverside garden, rooms as well as food</t>
  </si>
  <si>
    <t xml:space="preserve">Seasonal food films + rooms/staycation content</t>
  </si>
  <si>
    <t xml:space="preserve">Uffington, Shrewsbury</t>
  </si>
  <si>
    <t xml:space="preserve">+44 1743 709232</t>
  </si>
  <si>
    <t xml:space="preserve">http://www.thecorbetarms.com/</t>
  </si>
  <si>
    <t xml:space="preserve">Very close to town - easy shoot.</t>
  </si>
  <si>
    <t xml:space="preserve">Riverside Inn, Cound</t>
  </si>
  <si>
    <t xml:space="preserve">2,399 reviews; river views, big covers</t>
  </si>
  <si>
    <t xml:space="preserve">Hero film built on the setting</t>
  </si>
  <si>
    <t xml:space="preserve">Cound, Shrewsbury</t>
  </si>
  <si>
    <t xml:space="preserve">+44 1743 296613</t>
  </si>
  <si>
    <t xml:space="preserve">Salopian Brewing Co</t>
  </si>
  <si>
    <t xml:space="preserve">Producer - brewery</t>
  </si>
  <si>
    <t xml:space="preserve">Established Shropshire brewer; repeatable product launches</t>
  </si>
  <si>
    <t xml:space="preserve">Launch films per new beer - recurring by nature</t>
  </si>
  <si>
    <t xml:space="preserve">Hadnall, Shrewsbury</t>
  </si>
  <si>
    <t xml:space="preserve">Confirm contact, then email</t>
  </si>
  <si>
    <t xml:space="preserve">Contact details to look up.</t>
  </si>
  <si>
    <t xml:space="preserve">Shropshire Distillery</t>
  </si>
  <si>
    <t xml:space="preserve">Producer - distillery</t>
  </si>
  <si>
    <t xml:space="preserve">Sells online - video ROI is directly provable</t>
  </si>
  <si>
    <t xml:space="preserve">Brand film + product launch content for D2C</t>
  </si>
  <si>
    <t xml:space="preserve">Shropshire</t>
  </si>
  <si>
    <t xml:space="preserve">Churncote Farm Shop</t>
  </si>
  <si>
    <t xml:space="preserve">Producer - farm shop / cafe</t>
  </si>
  <si>
    <t xml:space="preserve">Seasonal food storytelling; cafe + retail</t>
  </si>
  <si>
    <t xml:space="preserve">Seasonal produce films; supplier stories</t>
  </si>
  <si>
    <t xml:space="preserve">Churncote, Shrewsbury</t>
  </si>
  <si>
    <t xml:space="preserve">Confirm contact</t>
  </si>
  <si>
    <t xml:space="preserve">Battlefield 1403</t>
  </si>
  <si>
    <t xml:space="preserve">Producer - farm shop / attraction</t>
  </si>
  <si>
    <t xml:space="preserve">1,700+ reviews; retail, food and visitor site in one</t>
  </si>
  <si>
    <t xml:space="preserve">Seasonal campaigns - Christmas especially</t>
  </si>
  <si>
    <t xml:space="preserve">Confirm contact, pitch in autumn</t>
  </si>
  <si>
    <t xml:space="preserve">Why they need video</t>
  </si>
  <si>
    <t xml:space="preserve">Opening hook (what you say first)</t>
  </si>
  <si>
    <t xml:space="preserve">Offer to lead with</t>
  </si>
  <si>
    <t xml:space="preserve">Best time to pitch</t>
  </si>
  <si>
    <t xml:space="preserve">Proof to show</t>
  </si>
  <si>
    <t xml:space="preserve">Classic &amp; prestige car dealers</t>
  </si>
  <si>
    <t xml:space="preserve">A - retainer</t>
  </si>
  <si>
    <t xml:space="preserve">Stock turns over constantly and every arrival needs presenting. Buyers are remote and decide on the strength of the listing.</t>
  </si>
  <si>
    <t xml:space="preserve">Every car you take in is a film you're not making. We'll turn each arrival into something that sells it before anyone drives over.</t>
  </si>
  <si>
    <t xml:space="preserve">Monthly retainer - one shoot day covers several cars; two edit days produce a film each plus social cuts.</t>
  </si>
  <si>
    <t xml:space="preserve">Year-round. Quieter forecourt months are ideal for building a back catalogue.</t>
  </si>
  <si>
    <t xml:space="preserve">Product/lifestyle work from the showreel. Emphasise light, motion, restraint.</t>
  </si>
  <si>
    <t xml:space="preserve">Detailers / PPF / ceramic</t>
  </si>
  <si>
    <t xml:space="preserve">They already document every job on a phone. The work is visually spectacular and the results sell the service.</t>
  </si>
  <si>
    <t xml:space="preserve">You already film every job. We'll make it look like the work deserves - same process, properly shot.</t>
  </si>
  <si>
    <t xml:space="preserve">Entry piece first (one transformation film), then a monthly clip bank.</t>
  </si>
  <si>
    <t xml:space="preserve">Year-round; spring and pre-winter protection pushes are peaks.</t>
  </si>
  <si>
    <t xml:space="preserve">Product/detail work. Macro, texture, reflections.</t>
  </si>
  <si>
    <t xml:space="preserve">Motorcycle dealers</t>
  </si>
  <si>
    <t xml:space="preserve">Handover moments are emotional and highly shareable; new model launches recur.</t>
  </si>
  <si>
    <t xml:space="preserve">Your customers are having the best day of their year in your showroom. Let's film it.</t>
  </si>
  <si>
    <t xml:space="preserve">Retainer built on handovers + model walkarounds.</t>
  </si>
  <si>
    <t xml:space="preserve">Spring peak (riding season) - pitch Jan-Feb.</t>
  </si>
  <si>
    <t xml:space="preserve">Presenter-led and lifestyle work.</t>
  </si>
  <si>
    <t xml:space="preserve">Outdoor &amp; adventure centres</t>
  </si>
  <si>
    <t xml:space="preserve">Selling an experience that words can't convey; bookings are driven by imagery.</t>
  </si>
  <si>
    <t xml:space="preserve">People book you because of how a day with you feels. That's a video problem, not a copy problem.</t>
  </si>
  <si>
    <t xml:space="preserve">Action content bank - one shoot day feeds a whole season.</t>
  </si>
  <si>
    <t xml:space="preserve">Pitch Jan-Mar for the spring/summer season; shoot in shoulder season.</t>
  </si>
  <si>
    <t xml:space="preserve">Action and lifestyle work from the showreel.</t>
  </si>
  <si>
    <t xml:space="preserve">Design-led stays / glamping</t>
  </si>
  <si>
    <t xml:space="preserve">Direct bookings depend on atmosphere. OTAs commoditise them; video differentiates.</t>
  </si>
  <si>
    <t xml:space="preserve">Every booking you take direct instead of through a platform pays for this several times over.</t>
  </si>
  <si>
    <t xml:space="preserve">Seasonal hero film + quarterly refresh, or monthly retainer for the bigger sites.</t>
  </si>
  <si>
    <t xml:space="preserve">Autumn, for the following season's booking window.</t>
  </si>
  <si>
    <t xml:space="preserve">Lifestyle work. Golden hour, texture, calm.</t>
  </si>
  <si>
    <t xml:space="preserve">Attractions &amp; heritage venues</t>
  </si>
  <si>
    <t xml:space="preserve">A/B</t>
  </si>
  <si>
    <t xml:space="preserve">Constant event calendar; each event needs its own promo. Visitor numbers respond directly to social reach.</t>
  </si>
  <si>
    <t xml:space="preserve">You run a new event every few weeks and each one needs its own trailer. Let's stop starting from scratch each time.</t>
  </si>
  <si>
    <t xml:space="preserve">Retainer covering the event calendar; one-off hero film for the site itself.</t>
  </si>
  <si>
    <t xml:space="preserve">Autumn for the following year's programme; Sept-Oct for Christmas events.</t>
  </si>
  <si>
    <t xml:space="preserve">Destination pubs &amp; country inns</t>
  </si>
  <si>
    <t xml:space="preserve">Seasonal menus, events and rooms mean permanently renewing content needs. Competing on atmosphere.</t>
  </si>
  <si>
    <t xml:space="preserve">Your food looks better than your photos of it. One day a month fixes that permanently.</t>
  </si>
  <si>
    <t xml:space="preserve">Monthly content day - menu, atmosphere, staff, seasonal.</t>
  </si>
  <si>
    <t xml:space="preserve">Pitch in Jan (quiet) for the year; autumn for Christmas bookings.</t>
  </si>
  <si>
    <t xml:space="preserve">Food, lifestyle and presenter-led work.</t>
  </si>
  <si>
    <t xml:space="preserve">Producers - brewers, distillers, farm shops</t>
  </si>
  <si>
    <t xml:space="preserve">B - one-off into retainer</t>
  </si>
  <si>
    <t xml:space="preserve">Product launches recur; many sell direct online where video ROI is measurable.</t>
  </si>
  <si>
    <t xml:space="preserve">You launch new products all year. Each one deserves more than a photo on a white background.</t>
  </si>
  <si>
    <t xml:space="preserve">Brand film first, then per-launch product content.</t>
  </si>
  <si>
    <t xml:space="preserve">Ahead of Christmas (Sept-Oct) and spring range launches.</t>
  </si>
  <si>
    <t xml:space="preserve">Product work - the strongest part of the reel for this audience.</t>
  </si>
  <si>
    <t xml:space="preserve">Restoration specialists</t>
  </si>
  <si>
    <t xml:space="preserve">B - showreel builder</t>
  </si>
  <si>
    <t xml:space="preserve">The work is a story with a beginning, middle and end - inherently filmic.</t>
  </si>
  <si>
    <t xml:space="preserve">The best thing about your work is the bit nobody sees. Let's document a full restoration.</t>
  </si>
  <si>
    <t xml:space="preserve">Long-form journey film; possibly staged over months at a reduced rate.</t>
  </si>
  <si>
    <t xml:space="preserve">Any time - tie to a project start.</t>
  </si>
  <si>
    <t xml:space="preserve">Craft/product work. Emphasise patience and detail.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</si>
</sst>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525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1"/>
      <color rgb="FF0F525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5257"/>
        <bgColor rgb="FF1F2937"/>
      </patternFill>
    </fill>
    <fill>
      <patternFill patternType="solid">
        <fgColor rgb="FFD8EDE6"/>
        <bgColor rgb="FFEAF1F1"/>
      </patternFill>
    </fill>
    <fill>
      <patternFill patternType="solid">
        <fgColor rgb="FFFDF0DC"/>
        <bgColor rgb="FFEEEEEE"/>
      </patternFill>
    </fill>
    <fill>
      <patternFill patternType="solid">
        <fgColor rgb="FFEEEEEE"/>
        <bgColor rgb="FFEAF1F1"/>
      </patternFill>
    </fill>
    <fill>
      <patternFill patternType="solid">
        <fgColor rgb="FFEAF1F1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9"/>
      </left>
      <right style="thin">
        <color rgb="FFBFC9C9"/>
      </right>
      <top style="thin">
        <color rgb="FFBFC9C9"/>
      </top>
      <bottom style="thin">
        <color rgb="FFBF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52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DE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DF0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9"/>
      <rgbColor rgb="FF808080"/>
      <rgbColor rgb="FF9999FF"/>
      <rgbColor rgb="FF993366"/>
      <rgbColor rgb="FFFDF0DC"/>
      <rgbColor rgb="FFD8ED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1"/>
      <rgbColor rgb="FFEEEEE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F5257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2" t="s">
        <v>12</v>
      </c>
      <c r="B17" s="5" t="n">
        <f aca="false">COUNTA(Prospects!A2:A36)</f>
        <v>35</v>
      </c>
    </row>
    <row r="18" customFormat="false" ht="15" hidden="false" customHeight="false" outlineLevel="0" collapsed="false">
      <c r="A18" s="2" t="s">
        <v>13</v>
      </c>
      <c r="B18" s="5" t="n">
        <f aca="false">COUNTIF(Prospects!C2:C36,"A")</f>
        <v>17</v>
      </c>
    </row>
    <row r="19" customFormat="false" ht="15" hidden="false" customHeight="false" outlineLevel="0" collapsed="false">
      <c r="A19" s="2" t="s">
        <v>14</v>
      </c>
      <c r="B19" s="5" t="n">
        <f aca="false">COUNTIF(Prospects!C2:C36,"B")</f>
        <v>9</v>
      </c>
    </row>
    <row r="20" customFormat="false" ht="15" hidden="false" customHeight="false" outlineLevel="0" collapsed="false">
      <c r="A20" s="2" t="s">
        <v>15</v>
      </c>
      <c r="B20" s="5" t="n">
        <f aca="false">COUNTIF(Prospects!C2:C36,"C")</f>
        <v>9</v>
      </c>
    </row>
    <row r="21" customFormat="false" ht="15" hidden="false" customHeight="false" outlineLevel="0" collapsed="false">
      <c r="A21" s="2" t="s">
        <v>16</v>
      </c>
      <c r="B21" s="5" t="n">
        <f aca="false">COUNTA(Prospects!L2:L36)-COUNTIF(Prospects!L2:L36,"Not started")</f>
        <v>0</v>
      </c>
    </row>
    <row r="22" customFormat="false" ht="15" hidden="false" customHeight="false" outlineLevel="0" collapsed="false">
      <c r="A22" s="2" t="s">
        <v>17</v>
      </c>
      <c r="B22" s="5" t="n">
        <f aca="false">COUNTIF(Prospects!L2:L36,"Won")</f>
        <v>0</v>
      </c>
    </row>
    <row r="24" customFormat="false" ht="15" hidden="false" customHeight="false" outlineLevel="0" collapsed="false">
      <c r="A24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26"/>
    <col collapsed="false" customWidth="true" hidden="false" outlineLevel="0" max="16" min="16" style="0" width="34"/>
  </cols>
  <sheetData>
    <row r="1" customFormat="false" ht="30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</row>
    <row r="2" customFormat="false" ht="42" hidden="false" customHeight="true" outlineLevel="0" collapsed="false">
      <c r="A2" s="8" t="s">
        <v>35</v>
      </c>
      <c r="B2" s="9" t="s">
        <v>36</v>
      </c>
      <c r="C2" s="10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11" t="n">
        <v>4.9</v>
      </c>
      <c r="J2" s="12" t="n">
        <v>117</v>
      </c>
      <c r="K2" s="9" t="s">
        <v>43</v>
      </c>
      <c r="L2" s="9" t="s">
        <v>44</v>
      </c>
      <c r="M2" s="9"/>
      <c r="N2" s="9"/>
      <c r="O2" s="9" t="s">
        <v>45</v>
      </c>
      <c r="P2" s="9" t="s">
        <v>46</v>
      </c>
    </row>
    <row r="3" customFormat="false" ht="42" hidden="false" customHeight="true" outlineLevel="0" collapsed="false">
      <c r="A3" s="8" t="s">
        <v>47</v>
      </c>
      <c r="B3" s="9" t="s">
        <v>36</v>
      </c>
      <c r="C3" s="10" t="s">
        <v>37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11" t="n">
        <v>4.9</v>
      </c>
      <c r="J3" s="12" t="n">
        <v>66</v>
      </c>
      <c r="K3" s="9" t="s">
        <v>43</v>
      </c>
      <c r="L3" s="9" t="s">
        <v>44</v>
      </c>
      <c r="M3" s="9"/>
      <c r="N3" s="9"/>
      <c r="O3" s="9" t="s">
        <v>53</v>
      </c>
      <c r="P3" s="9" t="s">
        <v>54</v>
      </c>
    </row>
    <row r="4" customFormat="false" ht="42" hidden="false" customHeight="true" outlineLevel="0" collapsed="false">
      <c r="A4" s="8" t="s">
        <v>55</v>
      </c>
      <c r="B4" s="9" t="s">
        <v>56</v>
      </c>
      <c r="C4" s="10" t="s">
        <v>37</v>
      </c>
      <c r="D4" s="9" t="s">
        <v>57</v>
      </c>
      <c r="E4" s="9" t="s">
        <v>58</v>
      </c>
      <c r="F4" s="9" t="s">
        <v>59</v>
      </c>
      <c r="G4" s="9" t="s">
        <v>60</v>
      </c>
      <c r="H4" s="9" t="s">
        <v>61</v>
      </c>
      <c r="I4" s="11" t="n">
        <v>4.8</v>
      </c>
      <c r="J4" s="12" t="n">
        <v>109</v>
      </c>
      <c r="K4" s="9" t="s">
        <v>62</v>
      </c>
      <c r="L4" s="9" t="s">
        <v>44</v>
      </c>
      <c r="M4" s="9"/>
      <c r="N4" s="9"/>
      <c r="O4" s="9" t="s">
        <v>63</v>
      </c>
      <c r="P4" s="9" t="s">
        <v>64</v>
      </c>
    </row>
    <row r="5" customFormat="false" ht="42" hidden="false" customHeight="true" outlineLevel="0" collapsed="false">
      <c r="A5" s="8" t="s">
        <v>65</v>
      </c>
      <c r="B5" s="9" t="s">
        <v>56</v>
      </c>
      <c r="C5" s="10" t="s">
        <v>37</v>
      </c>
      <c r="D5" s="9" t="s">
        <v>66</v>
      </c>
      <c r="E5" s="9" t="s">
        <v>67</v>
      </c>
      <c r="F5" s="9" t="s">
        <v>68</v>
      </c>
      <c r="G5" s="9" t="s">
        <v>69</v>
      </c>
      <c r="H5" s="9" t="s">
        <v>70</v>
      </c>
      <c r="I5" s="11" t="n">
        <v>4.8</v>
      </c>
      <c r="J5" s="12" t="n">
        <v>79</v>
      </c>
      <c r="K5" s="9" t="s">
        <v>62</v>
      </c>
      <c r="L5" s="9" t="s">
        <v>44</v>
      </c>
      <c r="M5" s="9"/>
      <c r="N5" s="9"/>
      <c r="O5" s="9" t="s">
        <v>53</v>
      </c>
      <c r="P5" s="9"/>
    </row>
    <row r="6" customFormat="false" ht="42" hidden="false" customHeight="true" outlineLevel="0" collapsed="false">
      <c r="A6" s="8" t="s">
        <v>71</v>
      </c>
      <c r="B6" s="9" t="s">
        <v>72</v>
      </c>
      <c r="C6" s="10" t="s">
        <v>37</v>
      </c>
      <c r="D6" s="9" t="s">
        <v>73</v>
      </c>
      <c r="E6" s="9" t="s">
        <v>74</v>
      </c>
      <c r="F6" s="9" t="s">
        <v>75</v>
      </c>
      <c r="G6" s="9" t="s">
        <v>76</v>
      </c>
      <c r="H6" s="9" t="s">
        <v>77</v>
      </c>
      <c r="I6" s="11" t="n">
        <v>5</v>
      </c>
      <c r="J6" s="12" t="n">
        <v>8</v>
      </c>
      <c r="K6" s="9" t="s">
        <v>62</v>
      </c>
      <c r="L6" s="9" t="s">
        <v>44</v>
      </c>
      <c r="M6" s="9"/>
      <c r="N6" s="9"/>
      <c r="O6" s="9" t="s">
        <v>78</v>
      </c>
      <c r="P6" s="9" t="s">
        <v>79</v>
      </c>
    </row>
    <row r="7" customFormat="false" ht="42" hidden="false" customHeight="true" outlineLevel="0" collapsed="false">
      <c r="A7" s="8" t="s">
        <v>80</v>
      </c>
      <c r="B7" s="9" t="s">
        <v>81</v>
      </c>
      <c r="C7" s="10" t="s">
        <v>37</v>
      </c>
      <c r="D7" s="9" t="s">
        <v>82</v>
      </c>
      <c r="E7" s="9" t="s">
        <v>83</v>
      </c>
      <c r="F7" s="9" t="s">
        <v>84</v>
      </c>
      <c r="G7" s="9" t="s">
        <v>85</v>
      </c>
      <c r="H7" s="9" t="s">
        <v>86</v>
      </c>
      <c r="I7" s="11" t="n">
        <v>5</v>
      </c>
      <c r="J7" s="12" t="n">
        <v>54</v>
      </c>
      <c r="K7" s="9" t="s">
        <v>87</v>
      </c>
      <c r="L7" s="9" t="s">
        <v>44</v>
      </c>
      <c r="M7" s="9"/>
      <c r="N7" s="9"/>
      <c r="O7" s="9" t="s">
        <v>88</v>
      </c>
      <c r="P7" s="9" t="s">
        <v>89</v>
      </c>
    </row>
    <row r="8" customFormat="false" ht="42" hidden="false" customHeight="true" outlineLevel="0" collapsed="false">
      <c r="A8" s="8" t="s">
        <v>90</v>
      </c>
      <c r="B8" s="9" t="s">
        <v>81</v>
      </c>
      <c r="C8" s="10" t="s">
        <v>37</v>
      </c>
      <c r="D8" s="9" t="s">
        <v>91</v>
      </c>
      <c r="E8" s="9" t="s">
        <v>92</v>
      </c>
      <c r="F8" s="9" t="s">
        <v>93</v>
      </c>
      <c r="G8" s="9" t="s">
        <v>94</v>
      </c>
      <c r="H8" s="9"/>
      <c r="I8" s="11" t="n">
        <v>4.9</v>
      </c>
      <c r="J8" s="12" t="n">
        <v>33</v>
      </c>
      <c r="K8" s="9" t="s">
        <v>95</v>
      </c>
      <c r="L8" s="9" t="s">
        <v>44</v>
      </c>
      <c r="M8" s="9"/>
      <c r="N8" s="9"/>
      <c r="O8" s="9" t="s">
        <v>53</v>
      </c>
      <c r="P8" s="9" t="s">
        <v>96</v>
      </c>
    </row>
    <row r="9" customFormat="false" ht="42" hidden="false" customHeight="true" outlineLevel="0" collapsed="false">
      <c r="A9" s="8" t="s">
        <v>97</v>
      </c>
      <c r="B9" s="9" t="s">
        <v>81</v>
      </c>
      <c r="C9" s="10" t="s">
        <v>37</v>
      </c>
      <c r="D9" s="9" t="s">
        <v>98</v>
      </c>
      <c r="E9" s="9" t="s">
        <v>99</v>
      </c>
      <c r="F9" s="9" t="s">
        <v>100</v>
      </c>
      <c r="G9" s="9" t="s">
        <v>101</v>
      </c>
      <c r="H9" s="9"/>
      <c r="I9" s="11" t="n">
        <v>5</v>
      </c>
      <c r="J9" s="12" t="n">
        <v>26</v>
      </c>
      <c r="K9" s="9" t="s">
        <v>102</v>
      </c>
      <c r="L9" s="9" t="s">
        <v>44</v>
      </c>
      <c r="M9" s="9"/>
      <c r="N9" s="9"/>
      <c r="O9" s="9" t="s">
        <v>103</v>
      </c>
      <c r="P9" s="9" t="s">
        <v>96</v>
      </c>
    </row>
    <row r="10" customFormat="false" ht="42" hidden="false" customHeight="true" outlineLevel="0" collapsed="false">
      <c r="A10" s="8" t="s">
        <v>104</v>
      </c>
      <c r="B10" s="9" t="s">
        <v>105</v>
      </c>
      <c r="C10" s="13" t="s">
        <v>106</v>
      </c>
      <c r="D10" s="9" t="s">
        <v>107</v>
      </c>
      <c r="E10" s="9" t="s">
        <v>108</v>
      </c>
      <c r="F10" s="9" t="s">
        <v>109</v>
      </c>
      <c r="G10" s="9" t="s">
        <v>110</v>
      </c>
      <c r="H10" s="9"/>
      <c r="I10" s="11" t="n">
        <v>4.9</v>
      </c>
      <c r="J10" s="12" t="n">
        <v>979</v>
      </c>
      <c r="K10" s="9" t="s">
        <v>62</v>
      </c>
      <c r="L10" s="9" t="s">
        <v>44</v>
      </c>
      <c r="M10" s="9"/>
      <c r="N10" s="9"/>
      <c r="O10" s="9" t="s">
        <v>53</v>
      </c>
      <c r="P10" s="9" t="s">
        <v>111</v>
      </c>
    </row>
    <row r="11" customFormat="false" ht="42" hidden="false" customHeight="true" outlineLevel="0" collapsed="false">
      <c r="A11" s="8" t="s">
        <v>112</v>
      </c>
      <c r="B11" s="9" t="s">
        <v>113</v>
      </c>
      <c r="C11" s="10" t="s">
        <v>37</v>
      </c>
      <c r="D11" s="9" t="s">
        <v>114</v>
      </c>
      <c r="E11" s="9" t="s">
        <v>115</v>
      </c>
      <c r="F11" s="9" t="s">
        <v>116</v>
      </c>
      <c r="G11" s="9" t="s">
        <v>117</v>
      </c>
      <c r="H11" s="9" t="s">
        <v>118</v>
      </c>
      <c r="I11" s="11" t="n">
        <v>4.8</v>
      </c>
      <c r="J11" s="12" t="n">
        <v>242</v>
      </c>
      <c r="K11" s="9" t="s">
        <v>62</v>
      </c>
      <c r="L11" s="9" t="s">
        <v>44</v>
      </c>
      <c r="M11" s="9"/>
      <c r="N11" s="9"/>
      <c r="O11" s="9" t="s">
        <v>53</v>
      </c>
      <c r="P11" s="9" t="s">
        <v>119</v>
      </c>
    </row>
    <row r="12" customFormat="false" ht="42" hidden="false" customHeight="true" outlineLevel="0" collapsed="false">
      <c r="A12" s="8" t="s">
        <v>120</v>
      </c>
      <c r="B12" s="9" t="s">
        <v>121</v>
      </c>
      <c r="C12" s="14" t="s">
        <v>122</v>
      </c>
      <c r="D12" s="9" t="s">
        <v>123</v>
      </c>
      <c r="E12" s="9" t="s">
        <v>124</v>
      </c>
      <c r="F12" s="9" t="s">
        <v>109</v>
      </c>
      <c r="G12" s="9" t="s">
        <v>125</v>
      </c>
      <c r="H12" s="9"/>
      <c r="I12" s="11" t="n">
        <v>4.8</v>
      </c>
      <c r="J12" s="12" t="n">
        <v>55</v>
      </c>
      <c r="K12" s="9" t="s">
        <v>126</v>
      </c>
      <c r="L12" s="9" t="s">
        <v>44</v>
      </c>
      <c r="M12" s="9"/>
      <c r="N12" s="9"/>
      <c r="O12" s="9" t="s">
        <v>103</v>
      </c>
      <c r="P12" s="9"/>
    </row>
    <row r="13" customFormat="false" ht="42" hidden="false" customHeight="true" outlineLevel="0" collapsed="false">
      <c r="A13" s="8" t="s">
        <v>127</v>
      </c>
      <c r="B13" s="9" t="s">
        <v>121</v>
      </c>
      <c r="C13" s="14" t="s">
        <v>122</v>
      </c>
      <c r="D13" s="9" t="s">
        <v>128</v>
      </c>
      <c r="E13" s="9" t="s">
        <v>129</v>
      </c>
      <c r="F13" s="9" t="s">
        <v>130</v>
      </c>
      <c r="G13" s="9" t="s">
        <v>131</v>
      </c>
      <c r="H13" s="9"/>
      <c r="I13" s="11" t="n">
        <v>5</v>
      </c>
      <c r="J13" s="12" t="n">
        <v>34</v>
      </c>
      <c r="K13" s="9" t="s">
        <v>132</v>
      </c>
      <c r="L13" s="9" t="s">
        <v>44</v>
      </c>
      <c r="M13" s="9"/>
      <c r="N13" s="9"/>
      <c r="O13" s="9" t="s">
        <v>133</v>
      </c>
      <c r="P13" s="9" t="s">
        <v>134</v>
      </c>
    </row>
    <row r="14" customFormat="false" ht="42" hidden="false" customHeight="true" outlineLevel="0" collapsed="false">
      <c r="A14" s="8" t="s">
        <v>135</v>
      </c>
      <c r="B14" s="9" t="s">
        <v>136</v>
      </c>
      <c r="C14" s="13" t="s">
        <v>106</v>
      </c>
      <c r="D14" s="9" t="s">
        <v>137</v>
      </c>
      <c r="E14" s="9" t="s">
        <v>138</v>
      </c>
      <c r="F14" s="9" t="s">
        <v>130</v>
      </c>
      <c r="G14" s="9" t="s">
        <v>139</v>
      </c>
      <c r="H14" s="9"/>
      <c r="I14" s="11" t="n">
        <v>5</v>
      </c>
      <c r="J14" s="12" t="n">
        <v>7</v>
      </c>
      <c r="K14" s="9" t="s">
        <v>140</v>
      </c>
      <c r="L14" s="9" t="s">
        <v>44</v>
      </c>
      <c r="M14" s="9"/>
      <c r="N14" s="9"/>
      <c r="O14" s="9" t="s">
        <v>103</v>
      </c>
      <c r="P14" s="9" t="s">
        <v>141</v>
      </c>
    </row>
    <row r="15" customFormat="false" ht="42" hidden="false" customHeight="true" outlineLevel="0" collapsed="false">
      <c r="A15" s="8" t="s">
        <v>142</v>
      </c>
      <c r="B15" s="9" t="s">
        <v>136</v>
      </c>
      <c r="C15" s="14" t="s">
        <v>122</v>
      </c>
      <c r="D15" s="9" t="s">
        <v>143</v>
      </c>
      <c r="E15" s="9" t="s">
        <v>144</v>
      </c>
      <c r="F15" s="9" t="s">
        <v>145</v>
      </c>
      <c r="G15" s="9" t="s">
        <v>146</v>
      </c>
      <c r="H15" s="9"/>
      <c r="I15" s="11" t="n">
        <v>5</v>
      </c>
      <c r="J15" s="12" t="n">
        <v>3</v>
      </c>
      <c r="K15" s="9" t="s">
        <v>147</v>
      </c>
      <c r="L15" s="9" t="s">
        <v>44</v>
      </c>
      <c r="M15" s="9"/>
      <c r="N15" s="9"/>
      <c r="O15" s="9" t="s">
        <v>133</v>
      </c>
      <c r="P15" s="9" t="s">
        <v>148</v>
      </c>
    </row>
    <row r="16" customFormat="false" ht="42" hidden="false" customHeight="true" outlineLevel="0" collapsed="false">
      <c r="A16" s="8" t="s">
        <v>149</v>
      </c>
      <c r="B16" s="9" t="s">
        <v>150</v>
      </c>
      <c r="C16" s="14" t="s">
        <v>122</v>
      </c>
      <c r="D16" s="9" t="s">
        <v>151</v>
      </c>
      <c r="E16" s="9" t="s">
        <v>152</v>
      </c>
      <c r="F16" s="9" t="s">
        <v>153</v>
      </c>
      <c r="G16" s="9" t="s">
        <v>154</v>
      </c>
      <c r="H16" s="9"/>
      <c r="I16" s="11" t="n">
        <v>5</v>
      </c>
      <c r="J16" s="12" t="n">
        <v>4</v>
      </c>
      <c r="K16" s="9" t="s">
        <v>132</v>
      </c>
      <c r="L16" s="9" t="s">
        <v>44</v>
      </c>
      <c r="M16" s="9"/>
      <c r="N16" s="9"/>
      <c r="O16" s="9" t="s">
        <v>133</v>
      </c>
      <c r="P16" s="9"/>
    </row>
    <row r="17" customFormat="false" ht="42" hidden="false" customHeight="true" outlineLevel="0" collapsed="false">
      <c r="A17" s="8" t="s">
        <v>155</v>
      </c>
      <c r="B17" s="9" t="s">
        <v>156</v>
      </c>
      <c r="C17" s="10" t="s">
        <v>37</v>
      </c>
      <c r="D17" s="9" t="s">
        <v>157</v>
      </c>
      <c r="E17" s="9" t="s">
        <v>158</v>
      </c>
      <c r="F17" s="9" t="s">
        <v>145</v>
      </c>
      <c r="G17" s="9" t="s">
        <v>159</v>
      </c>
      <c r="H17" s="9" t="s">
        <v>160</v>
      </c>
      <c r="I17" s="11" t="n">
        <v>4.9</v>
      </c>
      <c r="J17" s="12" t="n">
        <v>104</v>
      </c>
      <c r="K17" s="9" t="s">
        <v>43</v>
      </c>
      <c r="L17" s="9" t="s">
        <v>44</v>
      </c>
      <c r="M17" s="9"/>
      <c r="N17" s="9"/>
      <c r="O17" s="9" t="s">
        <v>161</v>
      </c>
      <c r="P17" s="9" t="s">
        <v>162</v>
      </c>
    </row>
    <row r="18" customFormat="false" ht="42" hidden="false" customHeight="true" outlineLevel="0" collapsed="false">
      <c r="A18" s="8" t="s">
        <v>163</v>
      </c>
      <c r="B18" s="9" t="s">
        <v>156</v>
      </c>
      <c r="C18" s="10" t="s">
        <v>37</v>
      </c>
      <c r="D18" s="9" t="s">
        <v>164</v>
      </c>
      <c r="E18" s="9" t="s">
        <v>165</v>
      </c>
      <c r="F18" s="9" t="s">
        <v>166</v>
      </c>
      <c r="G18" s="9" t="s">
        <v>167</v>
      </c>
      <c r="H18" s="9" t="s">
        <v>168</v>
      </c>
      <c r="I18" s="11" t="n">
        <v>4.5</v>
      </c>
      <c r="J18" s="12" t="n">
        <v>528</v>
      </c>
      <c r="K18" s="9" t="s">
        <v>62</v>
      </c>
      <c r="L18" s="9" t="s">
        <v>44</v>
      </c>
      <c r="M18" s="9"/>
      <c r="N18" s="9"/>
      <c r="O18" s="9" t="s">
        <v>169</v>
      </c>
      <c r="P18" s="9" t="s">
        <v>170</v>
      </c>
    </row>
    <row r="19" customFormat="false" ht="42" hidden="false" customHeight="true" outlineLevel="0" collapsed="false">
      <c r="A19" s="8" t="s">
        <v>171</v>
      </c>
      <c r="B19" s="9" t="s">
        <v>172</v>
      </c>
      <c r="C19" s="13" t="s">
        <v>106</v>
      </c>
      <c r="D19" s="9" t="s">
        <v>173</v>
      </c>
      <c r="E19" s="9" t="s">
        <v>174</v>
      </c>
      <c r="F19" s="9" t="s">
        <v>175</v>
      </c>
      <c r="G19" s="9" t="s">
        <v>176</v>
      </c>
      <c r="H19" s="9" t="s">
        <v>177</v>
      </c>
      <c r="I19" s="11" t="n">
        <v>5</v>
      </c>
      <c r="J19" s="12" t="n">
        <v>31</v>
      </c>
      <c r="K19" s="9" t="s">
        <v>178</v>
      </c>
      <c r="L19" s="9" t="s">
        <v>44</v>
      </c>
      <c r="M19" s="9"/>
      <c r="N19" s="9"/>
      <c r="O19" s="9" t="s">
        <v>103</v>
      </c>
      <c r="P19" s="9" t="s">
        <v>179</v>
      </c>
    </row>
    <row r="20" customFormat="false" ht="42" hidden="false" customHeight="true" outlineLevel="0" collapsed="false">
      <c r="A20" s="8" t="s">
        <v>180</v>
      </c>
      <c r="B20" s="9" t="s">
        <v>181</v>
      </c>
      <c r="C20" s="14" t="s">
        <v>122</v>
      </c>
      <c r="D20" s="9" t="s">
        <v>182</v>
      </c>
      <c r="E20" s="9" t="s">
        <v>183</v>
      </c>
      <c r="F20" s="9" t="s">
        <v>184</v>
      </c>
      <c r="G20" s="9" t="s">
        <v>185</v>
      </c>
      <c r="H20" s="9"/>
      <c r="I20" s="11" t="n">
        <v>5</v>
      </c>
      <c r="J20" s="12" t="n">
        <v>2</v>
      </c>
      <c r="K20" s="9" t="s">
        <v>147</v>
      </c>
      <c r="L20" s="9" t="s">
        <v>44</v>
      </c>
      <c r="M20" s="9"/>
      <c r="N20" s="9"/>
      <c r="O20" s="9" t="s">
        <v>133</v>
      </c>
      <c r="P20" s="9" t="s">
        <v>186</v>
      </c>
    </row>
    <row r="21" customFormat="false" ht="42" hidden="false" customHeight="true" outlineLevel="0" collapsed="false">
      <c r="A21" s="8" t="s">
        <v>187</v>
      </c>
      <c r="B21" s="9" t="s">
        <v>188</v>
      </c>
      <c r="C21" s="10" t="s">
        <v>37</v>
      </c>
      <c r="D21" s="9" t="s">
        <v>189</v>
      </c>
      <c r="E21" s="9" t="s">
        <v>190</v>
      </c>
      <c r="F21" s="9" t="s">
        <v>191</v>
      </c>
      <c r="G21" s="9" t="s">
        <v>192</v>
      </c>
      <c r="H21" s="9" t="s">
        <v>193</v>
      </c>
      <c r="I21" s="11" t="n">
        <v>4.9</v>
      </c>
      <c r="J21" s="12" t="n">
        <v>354</v>
      </c>
      <c r="K21" s="9" t="s">
        <v>43</v>
      </c>
      <c r="L21" s="9" t="s">
        <v>44</v>
      </c>
      <c r="M21" s="9"/>
      <c r="N21" s="9"/>
      <c r="O21" s="9" t="s">
        <v>194</v>
      </c>
      <c r="P21" s="9" t="s">
        <v>195</v>
      </c>
    </row>
    <row r="22" customFormat="false" ht="42" hidden="false" customHeight="true" outlineLevel="0" collapsed="false">
      <c r="A22" s="8" t="s">
        <v>196</v>
      </c>
      <c r="B22" s="9" t="s">
        <v>197</v>
      </c>
      <c r="C22" s="13" t="s">
        <v>106</v>
      </c>
      <c r="D22" s="9" t="s">
        <v>198</v>
      </c>
      <c r="E22" s="9" t="s">
        <v>199</v>
      </c>
      <c r="F22" s="9" t="s">
        <v>200</v>
      </c>
      <c r="G22" s="9" t="s">
        <v>201</v>
      </c>
      <c r="H22" s="9"/>
      <c r="I22" s="11" t="n">
        <v>5</v>
      </c>
      <c r="J22" s="12" t="n">
        <v>23</v>
      </c>
      <c r="K22" s="9" t="s">
        <v>140</v>
      </c>
      <c r="L22" s="9" t="s">
        <v>44</v>
      </c>
      <c r="M22" s="9"/>
      <c r="N22" s="9"/>
      <c r="O22" s="9" t="s">
        <v>103</v>
      </c>
      <c r="P22" s="9" t="s">
        <v>202</v>
      </c>
    </row>
    <row r="23" customFormat="false" ht="42" hidden="false" customHeight="true" outlineLevel="0" collapsed="false">
      <c r="A23" s="8" t="s">
        <v>203</v>
      </c>
      <c r="B23" s="9" t="s">
        <v>204</v>
      </c>
      <c r="C23" s="14" t="s">
        <v>122</v>
      </c>
      <c r="D23" s="9" t="s">
        <v>205</v>
      </c>
      <c r="E23" s="9" t="s">
        <v>206</v>
      </c>
      <c r="F23" s="9" t="s">
        <v>207</v>
      </c>
      <c r="G23" s="9" t="s">
        <v>208</v>
      </c>
      <c r="H23" s="9"/>
      <c r="I23" s="11" t="n">
        <v>4.7</v>
      </c>
      <c r="J23" s="12" t="n">
        <v>281</v>
      </c>
      <c r="K23" s="9" t="s">
        <v>140</v>
      </c>
      <c r="L23" s="9" t="s">
        <v>44</v>
      </c>
      <c r="M23" s="9"/>
      <c r="N23" s="9"/>
      <c r="O23" s="9" t="s">
        <v>103</v>
      </c>
      <c r="P23" s="9"/>
    </row>
    <row r="24" customFormat="false" ht="42" hidden="false" customHeight="true" outlineLevel="0" collapsed="false">
      <c r="A24" s="8" t="s">
        <v>209</v>
      </c>
      <c r="B24" s="9" t="s">
        <v>210</v>
      </c>
      <c r="C24" s="10" t="s">
        <v>37</v>
      </c>
      <c r="D24" s="9" t="s">
        <v>211</v>
      </c>
      <c r="E24" s="9" t="s">
        <v>212</v>
      </c>
      <c r="F24" s="9" t="s">
        <v>213</v>
      </c>
      <c r="G24" s="9" t="s">
        <v>214</v>
      </c>
      <c r="H24" s="9" t="s">
        <v>215</v>
      </c>
      <c r="I24" s="11" t="n">
        <v>4.6</v>
      </c>
      <c r="J24" s="12" t="n">
        <v>2086</v>
      </c>
      <c r="K24" s="9" t="s">
        <v>43</v>
      </c>
      <c r="L24" s="9" t="s">
        <v>44</v>
      </c>
      <c r="M24" s="9"/>
      <c r="N24" s="9"/>
      <c r="O24" s="9" t="s">
        <v>53</v>
      </c>
      <c r="P24" s="9" t="s">
        <v>216</v>
      </c>
    </row>
    <row r="25" customFormat="false" ht="42" hidden="false" customHeight="true" outlineLevel="0" collapsed="false">
      <c r="A25" s="8" t="s">
        <v>217</v>
      </c>
      <c r="B25" s="9" t="s">
        <v>218</v>
      </c>
      <c r="C25" s="14" t="s">
        <v>122</v>
      </c>
      <c r="D25" s="9" t="s">
        <v>219</v>
      </c>
      <c r="E25" s="9" t="s">
        <v>220</v>
      </c>
      <c r="F25" s="9" t="s">
        <v>221</v>
      </c>
      <c r="G25" s="9" t="s">
        <v>222</v>
      </c>
      <c r="H25" s="9"/>
      <c r="I25" s="11" t="n">
        <v>4.7</v>
      </c>
      <c r="J25" s="12" t="n">
        <v>7432</v>
      </c>
      <c r="K25" s="9" t="s">
        <v>126</v>
      </c>
      <c r="L25" s="9" t="s">
        <v>44</v>
      </c>
      <c r="M25" s="9"/>
      <c r="N25" s="9"/>
      <c r="O25" s="9" t="s">
        <v>133</v>
      </c>
      <c r="P25" s="9" t="s">
        <v>223</v>
      </c>
    </row>
    <row r="26" customFormat="false" ht="42" hidden="false" customHeight="true" outlineLevel="0" collapsed="false">
      <c r="A26" s="8" t="s">
        <v>224</v>
      </c>
      <c r="B26" s="9" t="s">
        <v>225</v>
      </c>
      <c r="C26" s="14" t="s">
        <v>122</v>
      </c>
      <c r="D26" s="9" t="s">
        <v>226</v>
      </c>
      <c r="E26" s="9" t="s">
        <v>227</v>
      </c>
      <c r="F26" s="9" t="s">
        <v>228</v>
      </c>
      <c r="G26" s="9" t="s">
        <v>229</v>
      </c>
      <c r="H26" s="9"/>
      <c r="I26" s="11" t="n">
        <v>4.5</v>
      </c>
      <c r="J26" s="12" t="n">
        <v>1179</v>
      </c>
      <c r="K26" s="9" t="s">
        <v>126</v>
      </c>
      <c r="L26" s="9" t="s">
        <v>44</v>
      </c>
      <c r="M26" s="9"/>
      <c r="N26" s="9"/>
      <c r="O26" s="9" t="s">
        <v>133</v>
      </c>
      <c r="P26" s="9" t="s">
        <v>230</v>
      </c>
    </row>
    <row r="27" customFormat="false" ht="42" hidden="false" customHeight="true" outlineLevel="0" collapsed="false">
      <c r="A27" s="8" t="s">
        <v>231</v>
      </c>
      <c r="B27" s="9" t="s">
        <v>232</v>
      </c>
      <c r="C27" s="13" t="s">
        <v>106</v>
      </c>
      <c r="D27" s="9" t="s">
        <v>233</v>
      </c>
      <c r="E27" s="9" t="s">
        <v>234</v>
      </c>
      <c r="F27" s="9" t="s">
        <v>235</v>
      </c>
      <c r="G27" s="9" t="s">
        <v>236</v>
      </c>
      <c r="H27" s="9"/>
      <c r="I27" s="11" t="n">
        <v>4.8</v>
      </c>
      <c r="J27" s="12" t="n">
        <v>422</v>
      </c>
      <c r="K27" s="9" t="s">
        <v>140</v>
      </c>
      <c r="L27" s="9" t="s">
        <v>44</v>
      </c>
      <c r="M27" s="9"/>
      <c r="N27" s="9"/>
      <c r="O27" s="9" t="s">
        <v>237</v>
      </c>
      <c r="P27" s="9" t="s">
        <v>238</v>
      </c>
    </row>
    <row r="28" customFormat="false" ht="42" hidden="false" customHeight="true" outlineLevel="0" collapsed="false">
      <c r="A28" s="8" t="s">
        <v>239</v>
      </c>
      <c r="B28" s="9" t="s">
        <v>232</v>
      </c>
      <c r="C28" s="14" t="s">
        <v>122</v>
      </c>
      <c r="D28" s="9" t="s">
        <v>240</v>
      </c>
      <c r="E28" s="9" t="s">
        <v>241</v>
      </c>
      <c r="F28" s="9" t="s">
        <v>242</v>
      </c>
      <c r="G28" s="9" t="s">
        <v>243</v>
      </c>
      <c r="H28" s="9"/>
      <c r="I28" s="11" t="n">
        <v>4.7</v>
      </c>
      <c r="J28" s="12" t="n">
        <v>976</v>
      </c>
      <c r="K28" s="9" t="s">
        <v>132</v>
      </c>
      <c r="L28" s="9" t="s">
        <v>44</v>
      </c>
      <c r="M28" s="9"/>
      <c r="N28" s="9"/>
      <c r="O28" s="9" t="s">
        <v>133</v>
      </c>
      <c r="P28" s="9" t="s">
        <v>244</v>
      </c>
    </row>
    <row r="29" customFormat="false" ht="42" hidden="false" customHeight="true" outlineLevel="0" collapsed="false">
      <c r="A29" s="8" t="s">
        <v>245</v>
      </c>
      <c r="B29" s="9" t="s">
        <v>246</v>
      </c>
      <c r="C29" s="10" t="s">
        <v>37</v>
      </c>
      <c r="D29" s="9" t="s">
        <v>247</v>
      </c>
      <c r="E29" s="9" t="s">
        <v>248</v>
      </c>
      <c r="F29" s="9" t="s">
        <v>249</v>
      </c>
      <c r="G29" s="9" t="s">
        <v>250</v>
      </c>
      <c r="H29" s="9" t="s">
        <v>251</v>
      </c>
      <c r="I29" s="11" t="n">
        <v>4.7</v>
      </c>
      <c r="J29" s="12" t="n">
        <v>933</v>
      </c>
      <c r="K29" s="9" t="s">
        <v>62</v>
      </c>
      <c r="L29" s="9" t="s">
        <v>44</v>
      </c>
      <c r="M29" s="9"/>
      <c r="N29" s="9"/>
      <c r="O29" s="9" t="s">
        <v>53</v>
      </c>
      <c r="P29" s="9" t="s">
        <v>252</v>
      </c>
    </row>
    <row r="30" customFormat="false" ht="42" hidden="false" customHeight="true" outlineLevel="0" collapsed="false">
      <c r="A30" s="8" t="s">
        <v>253</v>
      </c>
      <c r="B30" s="9" t="s">
        <v>246</v>
      </c>
      <c r="C30" s="10" t="s">
        <v>37</v>
      </c>
      <c r="D30" s="9" t="s">
        <v>254</v>
      </c>
      <c r="E30" s="9" t="s">
        <v>255</v>
      </c>
      <c r="F30" s="9" t="s">
        <v>256</v>
      </c>
      <c r="G30" s="9" t="s">
        <v>257</v>
      </c>
      <c r="H30" s="9" t="s">
        <v>258</v>
      </c>
      <c r="I30" s="11" t="n">
        <v>4.8</v>
      </c>
      <c r="J30" s="12" t="n">
        <v>426</v>
      </c>
      <c r="K30" s="9" t="s">
        <v>62</v>
      </c>
      <c r="L30" s="9" t="s">
        <v>44</v>
      </c>
      <c r="M30" s="9"/>
      <c r="N30" s="9"/>
      <c r="O30" s="9" t="s">
        <v>53</v>
      </c>
      <c r="P30" s="9" t="s">
        <v>259</v>
      </c>
    </row>
    <row r="31" customFormat="false" ht="42" hidden="false" customHeight="true" outlineLevel="0" collapsed="false">
      <c r="A31" s="8" t="s">
        <v>260</v>
      </c>
      <c r="B31" s="9" t="s">
        <v>261</v>
      </c>
      <c r="C31" s="10" t="s">
        <v>37</v>
      </c>
      <c r="D31" s="9" t="s">
        <v>262</v>
      </c>
      <c r="E31" s="9" t="s">
        <v>263</v>
      </c>
      <c r="F31" s="9" t="s">
        <v>264</v>
      </c>
      <c r="G31" s="9" t="s">
        <v>265</v>
      </c>
      <c r="H31" s="9" t="s">
        <v>266</v>
      </c>
      <c r="I31" s="11" t="n">
        <v>4.4</v>
      </c>
      <c r="J31" s="12" t="n">
        <v>1777</v>
      </c>
      <c r="K31" s="9" t="s">
        <v>102</v>
      </c>
      <c r="L31" s="9" t="s">
        <v>44</v>
      </c>
      <c r="M31" s="9"/>
      <c r="N31" s="9"/>
      <c r="O31" s="9" t="s">
        <v>103</v>
      </c>
      <c r="P31" s="9" t="s">
        <v>267</v>
      </c>
    </row>
    <row r="32" customFormat="false" ht="42" hidden="false" customHeight="true" outlineLevel="0" collapsed="false">
      <c r="A32" s="8" t="s">
        <v>268</v>
      </c>
      <c r="B32" s="9" t="s">
        <v>246</v>
      </c>
      <c r="C32" s="13" t="s">
        <v>106</v>
      </c>
      <c r="D32" s="9" t="s">
        <v>269</v>
      </c>
      <c r="E32" s="9" t="s">
        <v>270</v>
      </c>
      <c r="F32" s="9" t="s">
        <v>271</v>
      </c>
      <c r="G32" s="9" t="s">
        <v>272</v>
      </c>
      <c r="H32" s="9"/>
      <c r="I32" s="11" t="n">
        <v>4.3</v>
      </c>
      <c r="J32" s="12" t="n">
        <v>2399</v>
      </c>
      <c r="K32" s="9" t="s">
        <v>102</v>
      </c>
      <c r="L32" s="9" t="s">
        <v>44</v>
      </c>
      <c r="M32" s="9"/>
      <c r="N32" s="9"/>
      <c r="O32" s="9" t="s">
        <v>103</v>
      </c>
      <c r="P32" s="9"/>
    </row>
    <row r="33" customFormat="false" ht="42" hidden="false" customHeight="true" outlineLevel="0" collapsed="false">
      <c r="A33" s="8" t="s">
        <v>273</v>
      </c>
      <c r="B33" s="9" t="s">
        <v>274</v>
      </c>
      <c r="C33" s="10" t="s">
        <v>37</v>
      </c>
      <c r="D33" s="9" t="s">
        <v>275</v>
      </c>
      <c r="E33" s="9" t="s">
        <v>276</v>
      </c>
      <c r="F33" s="9" t="s">
        <v>277</v>
      </c>
      <c r="G33" s="9"/>
      <c r="H33" s="9"/>
      <c r="I33" s="11"/>
      <c r="J33" s="12"/>
      <c r="K33" s="9" t="s">
        <v>102</v>
      </c>
      <c r="L33" s="9" t="s">
        <v>44</v>
      </c>
      <c r="M33" s="9"/>
      <c r="N33" s="9"/>
      <c r="O33" s="9" t="s">
        <v>278</v>
      </c>
      <c r="P33" s="9" t="s">
        <v>279</v>
      </c>
    </row>
    <row r="34" customFormat="false" ht="42" hidden="false" customHeight="true" outlineLevel="0" collapsed="false">
      <c r="A34" s="8" t="s">
        <v>280</v>
      </c>
      <c r="B34" s="9" t="s">
        <v>281</v>
      </c>
      <c r="C34" s="13" t="s">
        <v>106</v>
      </c>
      <c r="D34" s="9" t="s">
        <v>282</v>
      </c>
      <c r="E34" s="9" t="s">
        <v>283</v>
      </c>
      <c r="F34" s="9" t="s">
        <v>284</v>
      </c>
      <c r="G34" s="9"/>
      <c r="H34" s="9"/>
      <c r="I34" s="11"/>
      <c r="J34" s="12"/>
      <c r="K34" s="9" t="s">
        <v>102</v>
      </c>
      <c r="L34" s="9" t="s">
        <v>44</v>
      </c>
      <c r="M34" s="9"/>
      <c r="N34" s="9"/>
      <c r="O34" s="9" t="s">
        <v>278</v>
      </c>
      <c r="P34" s="9" t="s">
        <v>279</v>
      </c>
    </row>
    <row r="35" customFormat="false" ht="42" hidden="false" customHeight="true" outlineLevel="0" collapsed="false">
      <c r="A35" s="8" t="s">
        <v>285</v>
      </c>
      <c r="B35" s="9" t="s">
        <v>286</v>
      </c>
      <c r="C35" s="13" t="s">
        <v>106</v>
      </c>
      <c r="D35" s="9" t="s">
        <v>287</v>
      </c>
      <c r="E35" s="9" t="s">
        <v>288</v>
      </c>
      <c r="F35" s="9" t="s">
        <v>289</v>
      </c>
      <c r="G35" s="9"/>
      <c r="H35" s="9"/>
      <c r="I35" s="11"/>
      <c r="J35" s="12"/>
      <c r="K35" s="9" t="s">
        <v>126</v>
      </c>
      <c r="L35" s="9" t="s">
        <v>44</v>
      </c>
      <c r="M35" s="9"/>
      <c r="N35" s="9"/>
      <c r="O35" s="9" t="s">
        <v>290</v>
      </c>
      <c r="P35" s="9" t="s">
        <v>279</v>
      </c>
    </row>
    <row r="36" customFormat="false" ht="42" hidden="false" customHeight="true" outlineLevel="0" collapsed="false">
      <c r="A36" s="8" t="s">
        <v>291</v>
      </c>
      <c r="B36" s="9" t="s">
        <v>292</v>
      </c>
      <c r="C36" s="13" t="s">
        <v>106</v>
      </c>
      <c r="D36" s="9" t="s">
        <v>293</v>
      </c>
      <c r="E36" s="9" t="s">
        <v>294</v>
      </c>
      <c r="F36" s="9" t="s">
        <v>93</v>
      </c>
      <c r="G36" s="9"/>
      <c r="H36" s="9"/>
      <c r="I36" s="11"/>
      <c r="J36" s="12"/>
      <c r="K36" s="9" t="s">
        <v>102</v>
      </c>
      <c r="L36" s="9" t="s">
        <v>44</v>
      </c>
      <c r="M36" s="9"/>
      <c r="N36" s="9"/>
      <c r="O36" s="9" t="s">
        <v>295</v>
      </c>
      <c r="P36" s="9" t="s">
        <v>279</v>
      </c>
    </row>
  </sheetData>
  <autoFilter ref="A1:P36"/>
  <dataValidations count="1">
    <dataValidation allowBlank="true" errorStyle="stop" operator="between" showDropDown="false" showErrorMessage="false" showInputMessage="false" sqref="L2:L36" type="list">
      <formula1>"Not started,Researching,Contacted,Replied,Meeting booked,Proposal sent,Won,Lost,Nurture"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5" t="s">
        <v>20</v>
      </c>
      <c r="B1" s="15" t="s">
        <v>21</v>
      </c>
      <c r="C1" s="15" t="s">
        <v>296</v>
      </c>
      <c r="D1" s="15" t="s">
        <v>297</v>
      </c>
      <c r="E1" s="15" t="s">
        <v>298</v>
      </c>
      <c r="F1" s="15" t="s">
        <v>299</v>
      </c>
      <c r="G1" s="15" t="s">
        <v>300</v>
      </c>
    </row>
    <row r="2" customFormat="false" ht="78" hidden="false" customHeight="true" outlineLevel="0" collapsed="false">
      <c r="A2" s="16" t="s">
        <v>301</v>
      </c>
      <c r="B2" s="17" t="s">
        <v>302</v>
      </c>
      <c r="C2" s="17" t="s">
        <v>303</v>
      </c>
      <c r="D2" s="17" t="s">
        <v>304</v>
      </c>
      <c r="E2" s="17" t="s">
        <v>305</v>
      </c>
      <c r="F2" s="17" t="s">
        <v>306</v>
      </c>
      <c r="G2" s="17" t="s">
        <v>307</v>
      </c>
    </row>
    <row r="3" customFormat="false" ht="78" hidden="false" customHeight="true" outlineLevel="0" collapsed="false">
      <c r="A3" s="8" t="s">
        <v>308</v>
      </c>
      <c r="B3" s="9" t="s">
        <v>302</v>
      </c>
      <c r="C3" s="9" t="s">
        <v>309</v>
      </c>
      <c r="D3" s="9" t="s">
        <v>310</v>
      </c>
      <c r="E3" s="9" t="s">
        <v>311</v>
      </c>
      <c r="F3" s="9" t="s">
        <v>312</v>
      </c>
      <c r="G3" s="9" t="s">
        <v>313</v>
      </c>
    </row>
    <row r="4" customFormat="false" ht="78" hidden="false" customHeight="true" outlineLevel="0" collapsed="false">
      <c r="A4" s="16" t="s">
        <v>314</v>
      </c>
      <c r="B4" s="17" t="s">
        <v>302</v>
      </c>
      <c r="C4" s="17" t="s">
        <v>315</v>
      </c>
      <c r="D4" s="17" t="s">
        <v>316</v>
      </c>
      <c r="E4" s="17" t="s">
        <v>317</v>
      </c>
      <c r="F4" s="17" t="s">
        <v>318</v>
      </c>
      <c r="G4" s="17" t="s">
        <v>319</v>
      </c>
    </row>
    <row r="5" customFormat="false" ht="78" hidden="false" customHeight="true" outlineLevel="0" collapsed="false">
      <c r="A5" s="8" t="s">
        <v>320</v>
      </c>
      <c r="B5" s="9" t="s">
        <v>302</v>
      </c>
      <c r="C5" s="9" t="s">
        <v>321</v>
      </c>
      <c r="D5" s="9" t="s">
        <v>322</v>
      </c>
      <c r="E5" s="9" t="s">
        <v>323</v>
      </c>
      <c r="F5" s="9" t="s">
        <v>324</v>
      </c>
      <c r="G5" s="9" t="s">
        <v>325</v>
      </c>
    </row>
    <row r="6" customFormat="false" ht="78" hidden="false" customHeight="true" outlineLevel="0" collapsed="false">
      <c r="A6" s="16" t="s">
        <v>326</v>
      </c>
      <c r="B6" s="17" t="s">
        <v>302</v>
      </c>
      <c r="C6" s="17" t="s">
        <v>327</v>
      </c>
      <c r="D6" s="17" t="s">
        <v>328</v>
      </c>
      <c r="E6" s="17" t="s">
        <v>329</v>
      </c>
      <c r="F6" s="17" t="s">
        <v>330</v>
      </c>
      <c r="G6" s="17" t="s">
        <v>331</v>
      </c>
    </row>
    <row r="7" customFormat="false" ht="78" hidden="false" customHeight="true" outlineLevel="0" collapsed="false">
      <c r="A7" s="8" t="s">
        <v>332</v>
      </c>
      <c r="B7" s="9" t="s">
        <v>333</v>
      </c>
      <c r="C7" s="9" t="s">
        <v>334</v>
      </c>
      <c r="D7" s="9" t="s">
        <v>335</v>
      </c>
      <c r="E7" s="9" t="s">
        <v>336</v>
      </c>
      <c r="F7" s="9" t="s">
        <v>337</v>
      </c>
      <c r="G7" s="9" t="s">
        <v>319</v>
      </c>
    </row>
    <row r="8" customFormat="false" ht="78" hidden="false" customHeight="true" outlineLevel="0" collapsed="false">
      <c r="A8" s="16" t="s">
        <v>338</v>
      </c>
      <c r="B8" s="17" t="s">
        <v>302</v>
      </c>
      <c r="C8" s="17" t="s">
        <v>339</v>
      </c>
      <c r="D8" s="17" t="s">
        <v>340</v>
      </c>
      <c r="E8" s="17" t="s">
        <v>341</v>
      </c>
      <c r="F8" s="17" t="s">
        <v>342</v>
      </c>
      <c r="G8" s="17" t="s">
        <v>343</v>
      </c>
    </row>
    <row r="9" customFormat="false" ht="78" hidden="false" customHeight="true" outlineLevel="0" collapsed="false">
      <c r="A9" s="8" t="s">
        <v>344</v>
      </c>
      <c r="B9" s="9" t="s">
        <v>345</v>
      </c>
      <c r="C9" s="9" t="s">
        <v>346</v>
      </c>
      <c r="D9" s="9" t="s">
        <v>347</v>
      </c>
      <c r="E9" s="9" t="s">
        <v>348</v>
      </c>
      <c r="F9" s="9" t="s">
        <v>349</v>
      </c>
      <c r="G9" s="9" t="s">
        <v>350</v>
      </c>
    </row>
    <row r="10" customFormat="false" ht="78" hidden="false" customHeight="true" outlineLevel="0" collapsed="false">
      <c r="A10" s="16" t="s">
        <v>351</v>
      </c>
      <c r="B10" s="17" t="s">
        <v>352</v>
      </c>
      <c r="C10" s="17" t="s">
        <v>353</v>
      </c>
      <c r="D10" s="17" t="s">
        <v>354</v>
      </c>
      <c r="E10" s="17" t="s">
        <v>355</v>
      </c>
      <c r="F10" s="17" t="s">
        <v>356</v>
      </c>
      <c r="G10" s="17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2026-07-20T07:45:41Z</dcterms:created>
  <dc:creator>openpyxl</dc:creator>
  <dc:description/>
  <dc:language>en-US</dc:language>
  <cp:lastModifiedBy/>
  <dcterms:modified xsi:type="dcterms:W3CDTF">2026-07-20T07:45:41Z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